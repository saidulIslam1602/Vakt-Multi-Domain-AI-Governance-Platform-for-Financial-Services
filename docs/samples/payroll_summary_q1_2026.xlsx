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Payroll Register" sheetId="1" state="visible" r:id="rId1"/>
    <sheet xmlns:r="http://schemas.openxmlformats.org/officeDocument/2006/relationships" name="Dep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  <col width="18" customWidth="1" min="13" max="13"/>
  </cols>
  <sheetData>
    <row r="1" ht="28" customHeight="1">
      <c r="A1" s="1" t="inlineStr">
        <is>
          <t>ALLERGO NORDIC AS — PAYROLL REGISTER Q1 2026 (January–March)</t>
        </is>
      </c>
    </row>
    <row r="2">
      <c r="A2" s="2" t="inlineStr">
        <is>
          <t>Org.nr: 919 345 872 | Drammensveien 114, 0277 Oslo | Payroll Ref: PAY-Q1-2026 | Prepared: 5 April 2026 | HR Director: Marte Olsen</t>
        </is>
      </c>
    </row>
    <row r="4">
      <c r="A4" s="3" t="inlineStr">
        <is>
          <t>#</t>
        </is>
      </c>
      <c r="B4" s="3" t="inlineStr">
        <is>
          <t>Employee ID</t>
        </is>
      </c>
      <c r="C4" s="3" t="inlineStr">
        <is>
          <t>Name</t>
        </is>
      </c>
      <c r="D4" s="3" t="inlineStr">
        <is>
          <t>Department</t>
        </is>
      </c>
      <c r="E4" s="3" t="inlineStr">
        <is>
          <t>Position</t>
        </is>
      </c>
      <c r="F4" s="3" t="inlineStr">
        <is>
          <t>Base Salary (NOK/yr)</t>
        </is>
      </c>
      <c r="G4" s="3" t="inlineStr">
        <is>
          <t>Jan Gross (NOK)</t>
        </is>
      </c>
      <c r="H4" s="3" t="inlineStr">
        <is>
          <t>Feb Gross (NOK)</t>
        </is>
      </c>
      <c r="I4" s="3" t="inlineStr">
        <is>
          <t>Mar Gross (NOK)</t>
        </is>
      </c>
      <c r="J4" s="3" t="inlineStr">
        <is>
          <t>Q1 Gross (NOK)</t>
        </is>
      </c>
      <c r="K4" s="3" t="inlineStr">
        <is>
          <t>Employer NI
(14.1%)</t>
        </is>
      </c>
      <c r="L4" s="3" t="inlineStr">
        <is>
          <t>Pension
(7%)</t>
        </is>
      </c>
      <c r="M4" s="3" t="inlineStr">
        <is>
          <t>Total Employer Cost</t>
        </is>
      </c>
    </row>
    <row r="5">
      <c r="A5" s="4" t="n">
        <v>1</v>
      </c>
      <c r="B5" s="4" t="inlineStr">
        <is>
          <t>E001</t>
        </is>
      </c>
      <c r="C5" s="5" t="inlineStr">
        <is>
          <t>Knut Sørensen</t>
        </is>
      </c>
      <c r="D5" s="5" t="inlineStr">
        <is>
          <t>Finance</t>
        </is>
      </c>
      <c r="E5" s="5" t="inlineStr">
        <is>
          <t>Chief Financial Officer</t>
        </is>
      </c>
      <c r="F5" s="6" t="n">
        <v>1560000</v>
      </c>
      <c r="G5" s="6" t="n">
        <v>130000</v>
      </c>
      <c r="H5" s="6" t="n">
        <v>130000</v>
      </c>
      <c r="I5" s="6" t="n">
        <v>130000</v>
      </c>
      <c r="J5" s="6" t="n">
        <v>390000</v>
      </c>
      <c r="K5" s="6" t="n">
        <v>54989.99999999999</v>
      </c>
      <c r="L5" s="6" t="n">
        <v>27300</v>
      </c>
      <c r="M5" s="6" t="n">
        <v>472290</v>
      </c>
    </row>
    <row r="6">
      <c r="A6" s="7" t="n">
        <v>2</v>
      </c>
      <c r="B6" s="7" t="inlineStr">
        <is>
          <t>E002</t>
        </is>
      </c>
      <c r="C6" s="8" t="inlineStr">
        <is>
          <t>Marte Olsen</t>
        </is>
      </c>
      <c r="D6" s="8" t="inlineStr">
        <is>
          <t>HR</t>
        </is>
      </c>
      <c r="E6" s="8" t="inlineStr">
        <is>
          <t>HR Director</t>
        </is>
      </c>
      <c r="F6" s="9" t="n">
        <v>1080000</v>
      </c>
      <c r="G6" s="9" t="n">
        <v>90000</v>
      </c>
      <c r="H6" s="9" t="n">
        <v>90000</v>
      </c>
      <c r="I6" s="9" t="n">
        <v>90000</v>
      </c>
      <c r="J6" s="9" t="n">
        <v>270000</v>
      </c>
      <c r="K6" s="9" t="n">
        <v>38069.99999999999</v>
      </c>
      <c r="L6" s="9" t="n">
        <v>18900</v>
      </c>
      <c r="M6" s="9" t="n">
        <v>326970</v>
      </c>
    </row>
    <row r="7">
      <c r="A7" s="4" t="n">
        <v>3</v>
      </c>
      <c r="B7" s="4" t="inlineStr">
        <is>
          <t>E003</t>
        </is>
      </c>
      <c r="C7" s="5" t="inlineStr">
        <is>
          <t>Erik Stavland</t>
        </is>
      </c>
      <c r="D7" s="5" t="inlineStr">
        <is>
          <t>Legal</t>
        </is>
      </c>
      <c r="E7" s="5" t="inlineStr">
        <is>
          <t>General Counsel</t>
        </is>
      </c>
      <c r="F7" s="6" t="n">
        <v>1200000</v>
      </c>
      <c r="G7" s="6" t="n">
        <v>100000</v>
      </c>
      <c r="H7" s="6" t="n">
        <v>100000</v>
      </c>
      <c r="I7" s="6" t="n">
        <v>100000</v>
      </c>
      <c r="J7" s="6" t="n">
        <v>300000</v>
      </c>
      <c r="K7" s="6" t="n">
        <v>42299.99999999999</v>
      </c>
      <c r="L7" s="6" t="n">
        <v>21000</v>
      </c>
      <c r="M7" s="6" t="n">
        <v>363300</v>
      </c>
    </row>
    <row r="8">
      <c r="A8" s="7" t="n">
        <v>4</v>
      </c>
      <c r="B8" s="7" t="inlineStr">
        <is>
          <t>E004</t>
        </is>
      </c>
      <c r="C8" s="8" t="inlineStr">
        <is>
          <t>Ingrid Bakke</t>
        </is>
      </c>
      <c r="D8" s="8" t="inlineStr">
        <is>
          <t>Procurement</t>
        </is>
      </c>
      <c r="E8" s="8" t="inlineStr">
        <is>
          <t>Procurement Manager</t>
        </is>
      </c>
      <c r="F8" s="9" t="n">
        <v>840000</v>
      </c>
      <c r="G8" s="9" t="n">
        <v>70000</v>
      </c>
      <c r="H8" s="9" t="n">
        <v>70000</v>
      </c>
      <c r="I8" s="9" t="n">
        <v>70000</v>
      </c>
      <c r="J8" s="9" t="n">
        <v>210000</v>
      </c>
      <c r="K8" s="9" t="n">
        <v>29610</v>
      </c>
      <c r="L8" s="9" t="n">
        <v>14700</v>
      </c>
      <c r="M8" s="9" t="n">
        <v>254310</v>
      </c>
    </row>
    <row r="9">
      <c r="A9" s="4" t="n">
        <v>5</v>
      </c>
      <c r="B9" s="4" t="inlineStr">
        <is>
          <t>E005</t>
        </is>
      </c>
      <c r="C9" s="5" t="inlineStr">
        <is>
          <t>Lars Andersen</t>
        </is>
      </c>
      <c r="D9" s="5" t="inlineStr">
        <is>
          <t>Finance</t>
        </is>
      </c>
      <c r="E9" s="5" t="inlineStr">
        <is>
          <t>Senior Finance Analyst</t>
        </is>
      </c>
      <c r="F9" s="6" t="n">
        <v>720000</v>
      </c>
      <c r="G9" s="6" t="n">
        <v>60000</v>
      </c>
      <c r="H9" s="6" t="n">
        <v>60000</v>
      </c>
      <c r="I9" s="6" t="n">
        <v>60000</v>
      </c>
      <c r="J9" s="6" t="n">
        <v>180000</v>
      </c>
      <c r="K9" s="6" t="n">
        <v>25380</v>
      </c>
      <c r="L9" s="6" t="n">
        <v>12600</v>
      </c>
      <c r="M9" s="6" t="n">
        <v>217980</v>
      </c>
    </row>
    <row r="10">
      <c r="A10" s="7" t="n">
        <v>6</v>
      </c>
      <c r="B10" s="7" t="inlineStr">
        <is>
          <t>E006</t>
        </is>
      </c>
      <c r="C10" s="8" t="inlineStr">
        <is>
          <t>Thomas Vangen</t>
        </is>
      </c>
      <c r="D10" s="8" t="inlineStr">
        <is>
          <t>Sales</t>
        </is>
      </c>
      <c r="E10" s="8" t="inlineStr">
        <is>
          <t>Enterprise Account Executive</t>
        </is>
      </c>
      <c r="F10" s="9" t="n">
        <v>900000</v>
      </c>
      <c r="G10" s="9" t="n">
        <v>75000</v>
      </c>
      <c r="H10" s="9" t="n">
        <v>75000</v>
      </c>
      <c r="I10" s="9" t="n">
        <v>75000</v>
      </c>
      <c r="J10" s="9" t="n">
        <v>225000</v>
      </c>
      <c r="K10" s="9" t="n">
        <v>31725</v>
      </c>
      <c r="L10" s="9" t="n">
        <v>15750</v>
      </c>
      <c r="M10" s="9" t="n">
        <v>272475</v>
      </c>
    </row>
    <row r="11">
      <c r="A11" s="4" t="n">
        <v>7</v>
      </c>
      <c r="B11" s="4" t="inlineStr">
        <is>
          <t>E007</t>
        </is>
      </c>
      <c r="C11" s="5" t="inlineStr">
        <is>
          <t>Bjørn Lie</t>
        </is>
      </c>
      <c r="D11" s="5" t="inlineStr">
        <is>
          <t>IT</t>
        </is>
      </c>
      <c r="E11" s="5" t="inlineStr">
        <is>
          <t>Cloud Infrastructure Lead</t>
        </is>
      </c>
      <c r="F11" s="6" t="n">
        <v>960000</v>
      </c>
      <c r="G11" s="6" t="n">
        <v>80000</v>
      </c>
      <c r="H11" s="6" t="n">
        <v>80000</v>
      </c>
      <c r="I11" s="6" t="n">
        <v>80000</v>
      </c>
      <c r="J11" s="6" t="n">
        <v>240000</v>
      </c>
      <c r="K11" s="6" t="n">
        <v>33840</v>
      </c>
      <c r="L11" s="6" t="n">
        <v>16800</v>
      </c>
      <c r="M11" s="6" t="n">
        <v>290640</v>
      </c>
    </row>
    <row r="12">
      <c r="A12" s="7" t="n">
        <v>8</v>
      </c>
      <c r="B12" s="7" t="inlineStr">
        <is>
          <t>E008</t>
        </is>
      </c>
      <c r="C12" s="8" t="inlineStr">
        <is>
          <t>Silje Thorvaldsen</t>
        </is>
      </c>
      <c r="D12" s="8" t="inlineStr">
        <is>
          <t>Internal Audit</t>
        </is>
      </c>
      <c r="E12" s="8" t="inlineStr">
        <is>
          <t>Internal Auditor</t>
        </is>
      </c>
      <c r="F12" s="9" t="n">
        <v>780000</v>
      </c>
      <c r="G12" s="9" t="n">
        <v>65000</v>
      </c>
      <c r="H12" s="9" t="n">
        <v>65000</v>
      </c>
      <c r="I12" s="9" t="n">
        <v>65000</v>
      </c>
      <c r="J12" s="9" t="n">
        <v>195000</v>
      </c>
      <c r="K12" s="9" t="n">
        <v>27495</v>
      </c>
      <c r="L12" s="9" t="n">
        <v>13650</v>
      </c>
      <c r="M12" s="9" t="n">
        <v>236145</v>
      </c>
    </row>
    <row r="13">
      <c r="A13" s="4" t="n">
        <v>9</v>
      </c>
      <c r="B13" s="4" t="inlineStr">
        <is>
          <t>E009</t>
        </is>
      </c>
      <c r="C13" s="5" t="inlineStr">
        <is>
          <t>Anne Kristine Berg</t>
        </is>
      </c>
      <c r="D13" s="5" t="inlineStr">
        <is>
          <t>HR</t>
        </is>
      </c>
      <c r="E13" s="5" t="inlineStr">
        <is>
          <t>HR Business Partner</t>
        </is>
      </c>
      <c r="F13" s="6" t="n">
        <v>660000</v>
      </c>
      <c r="G13" s="6" t="n">
        <v>55000</v>
      </c>
      <c r="H13" s="6" t="n">
        <v>55000</v>
      </c>
      <c r="I13" s="6" t="n">
        <v>55000</v>
      </c>
      <c r="J13" s="6" t="n">
        <v>165000</v>
      </c>
      <c r="K13" s="6" t="n">
        <v>23265</v>
      </c>
      <c r="L13" s="6" t="n">
        <v>11550</v>
      </c>
      <c r="M13" s="6" t="n">
        <v>199815</v>
      </c>
    </row>
    <row r="14">
      <c r="A14" s="7" t="n">
        <v>10</v>
      </c>
      <c r="B14" s="7" t="inlineStr">
        <is>
          <t>E010</t>
        </is>
      </c>
      <c r="C14" s="8" t="inlineStr">
        <is>
          <t>Per Espen Hauge</t>
        </is>
      </c>
      <c r="D14" s="8" t="inlineStr">
        <is>
          <t>Operations</t>
        </is>
      </c>
      <c r="E14" s="8" t="inlineStr">
        <is>
          <t>Facilities Manager</t>
        </is>
      </c>
      <c r="F14" s="9" t="n">
        <v>600000</v>
      </c>
      <c r="G14" s="9" t="n">
        <v>50000</v>
      </c>
      <c r="H14" s="9" t="n">
        <v>50000</v>
      </c>
      <c r="I14" s="9" t="n">
        <v>50000</v>
      </c>
      <c r="J14" s="9" t="n">
        <v>150000</v>
      </c>
      <c r="K14" s="9" t="n">
        <v>21150</v>
      </c>
      <c r="L14" s="9" t="n">
        <v>10500</v>
      </c>
      <c r="M14" s="9" t="n">
        <v>181650</v>
      </c>
    </row>
    <row r="15">
      <c r="A15" s="4" t="n">
        <v>11</v>
      </c>
      <c r="B15" s="4" t="inlineStr">
        <is>
          <t>E011</t>
        </is>
      </c>
      <c r="C15" s="5" t="inlineStr">
        <is>
          <t>Rune Sverdrup</t>
        </is>
      </c>
      <c r="D15" s="5" t="inlineStr">
        <is>
          <t>Finance</t>
        </is>
      </c>
      <c r="E15" s="5" t="inlineStr">
        <is>
          <t>Finance Controller</t>
        </is>
      </c>
      <c r="F15" s="6" t="n">
        <v>720000</v>
      </c>
      <c r="G15" s="6" t="n">
        <v>60000</v>
      </c>
      <c r="H15" s="6" t="n">
        <v>60000</v>
      </c>
      <c r="I15" s="6" t="n">
        <v>60000</v>
      </c>
      <c r="J15" s="6" t="n">
        <v>180000</v>
      </c>
      <c r="K15" s="6" t="n">
        <v>25380</v>
      </c>
      <c r="L15" s="6" t="n">
        <v>12600</v>
      </c>
      <c r="M15" s="6" t="n">
        <v>217980</v>
      </c>
    </row>
    <row r="16">
      <c r="A16" s="7" t="n">
        <v>12</v>
      </c>
      <c r="B16" s="7" t="inlineStr">
        <is>
          <t>E012</t>
        </is>
      </c>
      <c r="C16" s="8" t="inlineStr">
        <is>
          <t>Camilla Hagen</t>
        </is>
      </c>
      <c r="D16" s="8" t="inlineStr">
        <is>
          <t>Marketing</t>
        </is>
      </c>
      <c r="E16" s="8" t="inlineStr">
        <is>
          <t>Marketing Manager</t>
        </is>
      </c>
      <c r="F16" s="9" t="n">
        <v>780000</v>
      </c>
      <c r="G16" s="9" t="n">
        <v>65000</v>
      </c>
      <c r="H16" s="9" t="n">
        <v>65000</v>
      </c>
      <c r="I16" s="9" t="n">
        <v>65000</v>
      </c>
      <c r="J16" s="9" t="n">
        <v>195000</v>
      </c>
      <c r="K16" s="9" t="n">
        <v>27495</v>
      </c>
      <c r="L16" s="9" t="n">
        <v>13650</v>
      </c>
      <c r="M16" s="9" t="n">
        <v>236145</v>
      </c>
    </row>
    <row r="17">
      <c r="A17" s="4" t="n">
        <v>13</v>
      </c>
      <c r="B17" s="4" t="inlineStr">
        <is>
          <t>E013</t>
        </is>
      </c>
      <c r="C17" s="5" t="inlineStr">
        <is>
          <t>Ola Berntsen</t>
        </is>
      </c>
      <c r="D17" s="5" t="inlineStr">
        <is>
          <t>IT</t>
        </is>
      </c>
      <c r="E17" s="5" t="inlineStr">
        <is>
          <t>Software Engineer</t>
        </is>
      </c>
      <c r="F17" s="6" t="n">
        <v>840000</v>
      </c>
      <c r="G17" s="6" t="n">
        <v>70000</v>
      </c>
      <c r="H17" s="6" t="n">
        <v>70000</v>
      </c>
      <c r="I17" s="6" t="n">
        <v>70000</v>
      </c>
      <c r="J17" s="6" t="n">
        <v>210000</v>
      </c>
      <c r="K17" s="6" t="n">
        <v>29610</v>
      </c>
      <c r="L17" s="6" t="n">
        <v>14700</v>
      </c>
      <c r="M17" s="6" t="n">
        <v>254310</v>
      </c>
    </row>
    <row r="18">
      <c r="A18" s="7" t="n">
        <v>14</v>
      </c>
      <c r="B18" s="7" t="inlineStr">
        <is>
          <t>E014</t>
        </is>
      </c>
      <c r="C18" s="8" t="inlineStr">
        <is>
          <t>Nina Paulsen</t>
        </is>
      </c>
      <c r="D18" s="8" t="inlineStr">
        <is>
          <t>Sales</t>
        </is>
      </c>
      <c r="E18" s="8" t="inlineStr">
        <is>
          <t>Sales Operations Analyst</t>
        </is>
      </c>
      <c r="F18" s="9" t="n">
        <v>660000</v>
      </c>
      <c r="G18" s="9" t="n">
        <v>55000</v>
      </c>
      <c r="H18" s="9" t="n">
        <v>55000</v>
      </c>
      <c r="I18" s="9" t="n">
        <v>55000</v>
      </c>
      <c r="J18" s="9" t="n">
        <v>165000</v>
      </c>
      <c r="K18" s="9" t="n">
        <v>23265</v>
      </c>
      <c r="L18" s="9" t="n">
        <v>11550</v>
      </c>
      <c r="M18" s="9" t="n">
        <v>199815</v>
      </c>
    </row>
    <row r="19">
      <c r="A19" s="4" t="n">
        <v>15</v>
      </c>
      <c r="B19" s="4" t="inlineStr">
        <is>
          <t>E015</t>
        </is>
      </c>
      <c r="C19" s="5" t="inlineStr">
        <is>
          <t>Henrik Strand</t>
        </is>
      </c>
      <c r="D19" s="5" t="inlineStr">
        <is>
          <t>Finance</t>
        </is>
      </c>
      <c r="E19" s="5" t="inlineStr">
        <is>
          <t>Accounts Payable Specialist</t>
        </is>
      </c>
      <c r="F19" s="6" t="n">
        <v>600000</v>
      </c>
      <c r="G19" s="6" t="n">
        <v>50000</v>
      </c>
      <c r="H19" s="6" t="n">
        <v>50000</v>
      </c>
      <c r="I19" s="6" t="n">
        <v>50000</v>
      </c>
      <c r="J19" s="6" t="n">
        <v>150000</v>
      </c>
      <c r="K19" s="6" t="n">
        <v>21150</v>
      </c>
      <c r="L19" s="6" t="n">
        <v>10500</v>
      </c>
      <c r="M19" s="6" t="n">
        <v>181650</v>
      </c>
    </row>
    <row r="20">
      <c r="A20" s="10" t="inlineStr">
        <is>
          <t>TOTAL</t>
        </is>
      </c>
      <c r="F20" s="11">
        <f>SUM(F5:F19)</f>
        <v/>
      </c>
      <c r="G20" s="11">
        <f>SUM(G5:G19)</f>
        <v/>
      </c>
      <c r="H20" s="11">
        <f>SUM(H5:H19)</f>
        <v/>
      </c>
      <c r="I20" s="11">
        <f>SUM(I5:I19)</f>
        <v/>
      </c>
      <c r="J20" s="11">
        <f>SUM(J5:J19)</f>
        <v/>
      </c>
      <c r="K20" s="11">
        <f>SUM(K5:K19)</f>
        <v/>
      </c>
      <c r="L20" s="11">
        <f>SUM(L5:L19)</f>
        <v/>
      </c>
      <c r="M20" s="11">
        <f>SUM(M5:M19)</f>
        <v/>
      </c>
    </row>
  </sheetData>
  <mergeCells count="3">
    <mergeCell ref="A20:E20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Q1 2026 Payroll — Summary by Department</t>
        </is>
      </c>
    </row>
    <row r="3">
      <c r="A3" s="3" t="inlineStr">
        <is>
          <t>Department</t>
        </is>
      </c>
      <c r="B3" s="3" t="inlineStr">
        <is>
          <t>Headcount</t>
        </is>
      </c>
      <c r="C3" s="3" t="inlineStr">
        <is>
          <t>Q1 Gross (NOK)</t>
        </is>
      </c>
      <c r="D3" s="3" t="inlineStr">
        <is>
          <t>Employer NI (NOK)</t>
        </is>
      </c>
      <c r="E3" s="3" t="inlineStr">
        <is>
          <t>Total Cost (NOK)</t>
        </is>
      </c>
    </row>
    <row r="4">
      <c r="A4" s="13" t="inlineStr">
        <is>
          <t>Finance</t>
        </is>
      </c>
      <c r="B4" s="14" t="n">
        <v>4</v>
      </c>
      <c r="C4" s="15" t="n">
        <v>900000</v>
      </c>
      <c r="D4" s="15" t="n">
        <v>126900</v>
      </c>
      <c r="E4" s="15" t="n">
        <v>1089900</v>
      </c>
    </row>
    <row r="5">
      <c r="A5" s="13" t="inlineStr">
        <is>
          <t>HR</t>
        </is>
      </c>
      <c r="B5" s="14" t="n">
        <v>2</v>
      </c>
      <c r="C5" s="15" t="n">
        <v>435000</v>
      </c>
      <c r="D5" s="15" t="n">
        <v>61334.99999999999</v>
      </c>
      <c r="E5" s="15" t="n">
        <v>526785</v>
      </c>
    </row>
    <row r="6">
      <c r="A6" s="13" t="inlineStr">
        <is>
          <t>IT</t>
        </is>
      </c>
      <c r="B6" s="14" t="n">
        <v>2</v>
      </c>
      <c r="C6" s="15" t="n">
        <v>450000</v>
      </c>
      <c r="D6" s="15" t="n">
        <v>63449.99999999999</v>
      </c>
      <c r="E6" s="15" t="n">
        <v>544950</v>
      </c>
    </row>
    <row r="7">
      <c r="A7" s="13" t="inlineStr">
        <is>
          <t>Internal Audit</t>
        </is>
      </c>
      <c r="B7" s="14" t="n">
        <v>1</v>
      </c>
      <c r="C7" s="15" t="n">
        <v>195000</v>
      </c>
      <c r="D7" s="15" t="n">
        <v>27495</v>
      </c>
      <c r="E7" s="15" t="n">
        <v>236145</v>
      </c>
    </row>
    <row r="8">
      <c r="A8" s="13" t="inlineStr">
        <is>
          <t>Legal</t>
        </is>
      </c>
      <c r="B8" s="14" t="n">
        <v>1</v>
      </c>
      <c r="C8" s="15" t="n">
        <v>300000</v>
      </c>
      <c r="D8" s="15" t="n">
        <v>42299.99999999999</v>
      </c>
      <c r="E8" s="15" t="n">
        <v>363300</v>
      </c>
    </row>
    <row r="9">
      <c r="A9" s="13" t="inlineStr">
        <is>
          <t>Marketing</t>
        </is>
      </c>
      <c r="B9" s="14" t="n">
        <v>1</v>
      </c>
      <c r="C9" s="15" t="n">
        <v>195000</v>
      </c>
      <c r="D9" s="15" t="n">
        <v>27495</v>
      </c>
      <c r="E9" s="15" t="n">
        <v>236145</v>
      </c>
    </row>
    <row r="10">
      <c r="A10" s="13" t="inlineStr">
        <is>
          <t>Operations</t>
        </is>
      </c>
      <c r="B10" s="14" t="n">
        <v>1</v>
      </c>
      <c r="C10" s="15" t="n">
        <v>150000</v>
      </c>
      <c r="D10" s="15" t="n">
        <v>21150</v>
      </c>
      <c r="E10" s="15" t="n">
        <v>181650</v>
      </c>
    </row>
    <row r="11">
      <c r="A11" s="13" t="inlineStr">
        <is>
          <t>Procurement</t>
        </is>
      </c>
      <c r="B11" s="14" t="n">
        <v>1</v>
      </c>
      <c r="C11" s="15" t="n">
        <v>210000</v>
      </c>
      <c r="D11" s="15" t="n">
        <v>29610</v>
      </c>
      <c r="E11" s="15" t="n">
        <v>254310</v>
      </c>
    </row>
    <row r="12">
      <c r="A12" s="13" t="inlineStr">
        <is>
          <t>Sales</t>
        </is>
      </c>
      <c r="B12" s="14" t="n">
        <v>2</v>
      </c>
      <c r="C12" s="15" t="n">
        <v>390000</v>
      </c>
      <c r="D12" s="15" t="n">
        <v>54989.99999999999</v>
      </c>
      <c r="E12" s="15" t="n">
        <v>472290</v>
      </c>
    </row>
    <row r="13">
      <c r="A13" s="16" t="inlineStr">
        <is>
          <t>TOTAL</t>
        </is>
      </c>
      <c r="B13" s="17" t="n">
        <v>15</v>
      </c>
      <c r="C13" s="18" t="n">
        <v>3225000</v>
      </c>
      <c r="D13" s="18" t="n">
        <v>454724.9999999999</v>
      </c>
      <c r="E13" s="18" t="n">
        <v>3905475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2026-03-12T06:43:52Z</dcterms:created>
  <dcterms:modified xmlns:dcterms="http://purl.org/dc/terms/" xmlns:xsi="http://www.w3.org/2001/XMLSchema-instance" xsi:type="dcterms:W3CDTF">2026-03-12T06:43:52Z</dcterms:modified>
</cp:coreProperties>
</file>