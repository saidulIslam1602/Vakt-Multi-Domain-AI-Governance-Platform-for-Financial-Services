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January 2026" sheetId="2" state="visible" r:id="rId2"/>
    <sheet xmlns:r="http://schemas.openxmlformats.org/officeDocument/2006/relationships" name="February 2026" sheetId="3" state="visible" r:id="rId3"/>
    <sheet xmlns:r="http://schemas.openxmlformats.org/officeDocument/2006/relationships" name="March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  <font>
      <sz val="10"/>
    </font>
    <font>
      <b val="1"/>
      <sz val="10"/>
    </font>
    <font>
      <b val="1"/>
      <color rgb="001E3A5F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E3A5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 wrapText="1"/>
    </xf>
    <xf numFmtId="4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center" vertical="center" wrapText="1"/>
    </xf>
    <xf numFmtId="4" fontId="0" fillId="4" borderId="1" pivotButton="0" quotePrefix="0" xfId="0"/>
    <xf numFmtId="164" fontId="0" fillId="4" borderId="1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4" fontId="4" fillId="2" borderId="2" applyAlignment="1" pivotButton="0" quotePrefix="0" xfId="0">
      <alignment horizontal="center"/>
    </xf>
    <xf numFmtId="164" fontId="4" fillId="2" borderId="2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0" customWidth="1" min="8" max="8"/>
  </cols>
  <sheetData>
    <row r="1" ht="28" customHeight="1">
      <c r="A1" s="1" t="inlineStr">
        <is>
          <t>ALLERGO NORDIC AS — FY2026 Q1 BUDGET TRACKER</t>
        </is>
      </c>
    </row>
    <row r="2" ht="18" customHeight="1">
      <c r="A2" s="2" t="inlineStr">
        <is>
          <t>Period: January – March 2026  |  Prepared by: Finance Team  |  Last Updated: 5 April 2026</t>
        </is>
      </c>
    </row>
    <row r="4" ht="22" customHeight="1">
      <c r="A4" s="3" t="inlineStr">
        <is>
          <t>Cost Centre</t>
        </is>
      </c>
      <c r="B4" s="3" t="inlineStr">
        <is>
          <t>Budget Owner</t>
        </is>
      </c>
      <c r="C4" s="3" t="inlineStr">
        <is>
          <t>Annual Budget (NOK)</t>
        </is>
      </c>
      <c r="D4" s="3" t="inlineStr">
        <is>
          <t>Q1 Budget (NOK)</t>
        </is>
      </c>
      <c r="E4" s="3" t="inlineStr">
        <is>
          <t>Q1 Actual (NOK)</t>
        </is>
      </c>
      <c r="F4" s="3" t="inlineStr">
        <is>
          <t>Q1 Variance (NOK)</t>
        </is>
      </c>
      <c r="G4" s="3" t="inlineStr">
        <is>
          <t>Variance %</t>
        </is>
      </c>
      <c r="H4" s="3" t="inlineStr">
        <is>
          <t>Status</t>
        </is>
      </c>
    </row>
    <row r="5">
      <c r="A5" s="4" t="inlineStr">
        <is>
          <t>Salaries &amp; Benefits</t>
        </is>
      </c>
      <c r="B5" s="4" t="inlineStr">
        <is>
          <t>HR</t>
        </is>
      </c>
      <c r="C5" s="5" t="n">
        <v>28800000</v>
      </c>
      <c r="D5" s="5" t="n">
        <v>7200000</v>
      </c>
      <c r="E5" s="5" t="n">
        <v>7312450</v>
      </c>
      <c r="F5" s="6">
        <f>E5-D5</f>
        <v/>
      </c>
      <c r="G5" s="7">
        <f>IF(D5&lt;&gt;0,F5/D5,0)</f>
        <v/>
      </c>
      <c r="H5" s="8">
        <f>IF(ABS(G5)&gt;0.05,"⚠ Review","✓ OK")</f>
        <v/>
      </c>
    </row>
    <row r="6">
      <c r="A6" s="9" t="inlineStr">
        <is>
          <t>IT &amp; Cloud Infrastructure</t>
        </is>
      </c>
      <c r="B6" s="9" t="inlineStr">
        <is>
          <t>IT</t>
        </is>
      </c>
      <c r="C6" s="10" t="n">
        <v>5400000</v>
      </c>
      <c r="D6" s="10" t="n">
        <v>1350000</v>
      </c>
      <c r="E6" s="10" t="n">
        <v>1289340</v>
      </c>
      <c r="F6" s="11">
        <f>E6-D6</f>
        <v/>
      </c>
      <c r="G6" s="12">
        <f>IF(D6&lt;&gt;0,F6/D6,0)</f>
        <v/>
      </c>
      <c r="H6" s="8">
        <f>IF(ABS(G6)&gt;0.05,"⚠ Review","✓ OK")</f>
        <v/>
      </c>
    </row>
    <row r="7">
      <c r="A7" s="4" t="inlineStr">
        <is>
          <t>Office &amp; Facilities</t>
        </is>
      </c>
      <c r="B7" s="4" t="inlineStr">
        <is>
          <t>Operations</t>
        </is>
      </c>
      <c r="C7" s="5" t="n">
        <v>1680000</v>
      </c>
      <c r="D7" s="5" t="n">
        <v>420000</v>
      </c>
      <c r="E7" s="5" t="n">
        <v>438200</v>
      </c>
      <c r="F7" s="6">
        <f>E7-D7</f>
        <v/>
      </c>
      <c r="G7" s="7">
        <f>IF(D7&lt;&gt;0,F7/D7,0)</f>
        <v/>
      </c>
      <c r="H7" s="8">
        <f>IF(ABS(G7)&gt;0.05,"⚠ Review","✓ OK")</f>
        <v/>
      </c>
    </row>
    <row r="8">
      <c r="A8" s="9" t="inlineStr">
        <is>
          <t>Marketing &amp; Sales</t>
        </is>
      </c>
      <c r="B8" s="9" t="inlineStr">
        <is>
          <t>Marketing</t>
        </is>
      </c>
      <c r="C8" s="10" t="n">
        <v>2400000</v>
      </c>
      <c r="D8" s="10" t="n">
        <v>600000</v>
      </c>
      <c r="E8" s="10" t="n">
        <v>554800</v>
      </c>
      <c r="F8" s="11">
        <f>E8-D8</f>
        <v/>
      </c>
      <c r="G8" s="12">
        <f>IF(D8&lt;&gt;0,F8/D8,0)</f>
        <v/>
      </c>
      <c r="H8" s="8">
        <f>IF(ABS(G8)&gt;0.05,"⚠ Review","✓ OK")</f>
        <v/>
      </c>
    </row>
    <row r="9">
      <c r="A9" s="4" t="inlineStr">
        <is>
          <t>R&amp;D Investment</t>
        </is>
      </c>
      <c r="B9" s="4" t="inlineStr">
        <is>
          <t>CTO</t>
        </is>
      </c>
      <c r="C9" s="5" t="n">
        <v>6500000</v>
      </c>
      <c r="D9" s="5" t="n">
        <v>1625000</v>
      </c>
      <c r="E9" s="5" t="n">
        <v>1601200</v>
      </c>
      <c r="F9" s="6">
        <f>E9-D9</f>
        <v/>
      </c>
      <c r="G9" s="7">
        <f>IF(D9&lt;&gt;0,F9/D9,0)</f>
        <v/>
      </c>
      <c r="H9" s="8">
        <f>IF(ABS(G9)&gt;0.05,"⚠ Review","✓ OK")</f>
        <v/>
      </c>
    </row>
    <row r="10">
      <c r="A10" s="9" t="inlineStr">
        <is>
          <t>Legal &amp; Compliance</t>
        </is>
      </c>
      <c r="B10" s="9" t="inlineStr">
        <is>
          <t>GC</t>
        </is>
      </c>
      <c r="C10" s="10" t="n">
        <v>960000</v>
      </c>
      <c r="D10" s="10" t="n">
        <v>240000</v>
      </c>
      <c r="E10" s="10" t="n">
        <v>228100</v>
      </c>
      <c r="F10" s="11">
        <f>E10-D10</f>
        <v/>
      </c>
      <c r="G10" s="12">
        <f>IF(D10&lt;&gt;0,F10/D10,0)</f>
        <v/>
      </c>
      <c r="H10" s="8">
        <f>IF(ABS(G10)&gt;0.05,"⚠ Review","✓ OK")</f>
        <v/>
      </c>
    </row>
    <row r="11">
      <c r="A11" s="4" t="inlineStr">
        <is>
          <t>Travel &amp; Entertainment</t>
        </is>
      </c>
      <c r="B11" s="4" t="inlineStr">
        <is>
          <t>Finance</t>
        </is>
      </c>
      <c r="C11" s="5" t="n">
        <v>600000</v>
      </c>
      <c r="D11" s="5" t="n">
        <v>150000</v>
      </c>
      <c r="E11" s="5" t="n">
        <v>163500</v>
      </c>
      <c r="F11" s="6">
        <f>E11-D11</f>
        <v/>
      </c>
      <c r="G11" s="7">
        <f>IF(D11&lt;&gt;0,F11/D11,0)</f>
        <v/>
      </c>
      <c r="H11" s="8">
        <f>IF(ABS(G11)&gt;0.05,"⚠ Review","✓ OK")</f>
        <v/>
      </c>
    </row>
    <row r="12">
      <c r="A12" s="9" t="inlineStr">
        <is>
          <t>External Consultants</t>
        </is>
      </c>
      <c r="B12" s="9" t="inlineStr">
        <is>
          <t>Operations</t>
        </is>
      </c>
      <c r="C12" s="10" t="n">
        <v>1800000</v>
      </c>
      <c r="D12" s="10" t="n">
        <v>450000</v>
      </c>
      <c r="E12" s="10" t="n">
        <v>412780</v>
      </c>
      <c r="F12" s="11">
        <f>E12-D12</f>
        <v/>
      </c>
      <c r="G12" s="12">
        <f>IF(D12&lt;&gt;0,F12/D12,0)</f>
        <v/>
      </c>
      <c r="H12" s="8">
        <f>IF(ABS(G12)&gt;0.05,"⚠ Review","✓ OK")</f>
        <v/>
      </c>
    </row>
    <row r="13">
      <c r="A13" s="4" t="inlineStr">
        <is>
          <t>Insurance &amp; Risk</t>
        </is>
      </c>
      <c r="B13" s="4" t="inlineStr">
        <is>
          <t>Finance</t>
        </is>
      </c>
      <c r="C13" s="5" t="n">
        <v>480000</v>
      </c>
      <c r="D13" s="5" t="n">
        <v>120000</v>
      </c>
      <c r="E13" s="5" t="n">
        <v>120000</v>
      </c>
      <c r="F13" s="6">
        <f>E13-D13</f>
        <v/>
      </c>
      <c r="G13" s="7">
        <f>IF(D13&lt;&gt;0,F13/D13,0)</f>
        <v/>
      </c>
      <c r="H13" s="8">
        <f>IF(ABS(G13)&gt;0.05,"⚠ Review","✓ OK")</f>
        <v/>
      </c>
    </row>
    <row r="14">
      <c r="A14" s="9" t="inlineStr">
        <is>
          <t>Miscellaneous / Reserve</t>
        </is>
      </c>
      <c r="B14" s="9" t="inlineStr">
        <is>
          <t>CFO</t>
        </is>
      </c>
      <c r="C14" s="10" t="n">
        <v>420000</v>
      </c>
      <c r="D14" s="10" t="n">
        <v>105000</v>
      </c>
      <c r="E14" s="10" t="n">
        <v>82430</v>
      </c>
      <c r="F14" s="11">
        <f>E14-D14</f>
        <v/>
      </c>
      <c r="G14" s="12">
        <f>IF(D14&lt;&gt;0,F14/D14,0)</f>
        <v/>
      </c>
      <c r="H14" s="8">
        <f>IF(ABS(G14)&gt;0.05,"⚠ Review","✓ OK")</f>
        <v/>
      </c>
    </row>
    <row r="15">
      <c r="A15" s="13" t="inlineStr">
        <is>
          <t>TOTAL</t>
        </is>
      </c>
      <c r="B15" s="14" t="inlineStr"/>
      <c r="C15" s="15">
        <f>SUM(C5:C14)</f>
        <v/>
      </c>
      <c r="D15" s="15">
        <f>SUM(D5:D14)</f>
        <v/>
      </c>
      <c r="E15" s="15">
        <f>SUM(E5:E14)</f>
        <v/>
      </c>
      <c r="F15" s="15">
        <f>SUM(F5:F14)</f>
        <v/>
      </c>
      <c r="G15" s="16">
        <f>SUM(G5:G14)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Allergo Nordic AS — Budget Detail: January 2026</t>
        </is>
      </c>
    </row>
    <row r="3">
      <c r="A3" s="3" t="inlineStr">
        <is>
          <t>Cost Centre</t>
        </is>
      </c>
      <c r="B3" s="3" t="inlineStr">
        <is>
          <t>Monthly Budget (NOK)</t>
        </is>
      </c>
      <c r="C3" s="3" t="inlineStr">
        <is>
          <t>Monthly Actual (NOK)</t>
        </is>
      </c>
      <c r="D3" s="3" t="inlineStr">
        <is>
          <t>Variance (NOK)</t>
        </is>
      </c>
    </row>
    <row r="4">
      <c r="A4" s="4" t="inlineStr">
        <is>
          <t>Salaries &amp; Benefits</t>
        </is>
      </c>
      <c r="B4" s="5" t="n">
        <v>2400000</v>
      </c>
      <c r="C4" s="5" t="n">
        <v>6820000</v>
      </c>
      <c r="D4" s="6">
        <f>C4-B4</f>
        <v/>
      </c>
    </row>
    <row r="5">
      <c r="A5" s="4" t="inlineStr">
        <is>
          <t>IT &amp; Cloud Infrastructure</t>
        </is>
      </c>
      <c r="B5" s="5" t="n">
        <v>450000</v>
      </c>
      <c r="C5" s="5" t="n">
        <v>1050000</v>
      </c>
      <c r="D5" s="6">
        <f>C5-B5</f>
        <v/>
      </c>
    </row>
    <row r="6">
      <c r="A6" s="4" t="inlineStr">
        <is>
          <t>Office &amp; Facilities</t>
        </is>
      </c>
      <c r="B6" s="5" t="n">
        <v>140000</v>
      </c>
      <c r="C6" s="5" t="n">
        <v>390000</v>
      </c>
      <c r="D6" s="6">
        <f>C6-B6</f>
        <v/>
      </c>
    </row>
    <row r="7">
      <c r="A7" s="4" t="inlineStr">
        <is>
          <t>Marketing &amp; Sales</t>
        </is>
      </c>
      <c r="B7" s="5" t="n">
        <v>200000</v>
      </c>
      <c r="C7" s="5" t="n">
        <v>480000</v>
      </c>
      <c r="D7" s="6">
        <f>C7-B7</f>
        <v/>
      </c>
    </row>
    <row r="8">
      <c r="A8" s="4" t="inlineStr">
        <is>
          <t>R&amp;D Investment</t>
        </is>
      </c>
      <c r="B8" s="5" t="n">
        <v>541666.6666666666</v>
      </c>
      <c r="C8" s="5" t="n">
        <v>1500000</v>
      </c>
      <c r="D8" s="6">
        <f>C8-B8</f>
        <v/>
      </c>
    </row>
    <row r="9">
      <c r="A9" s="4" t="inlineStr">
        <is>
          <t>Legal &amp; Compliance</t>
        </is>
      </c>
      <c r="B9" s="5" t="n">
        <v>80000</v>
      </c>
      <c r="C9" s="5" t="n">
        <v>210000</v>
      </c>
      <c r="D9" s="6">
        <f>C9-B9</f>
        <v/>
      </c>
    </row>
    <row r="10">
      <c r="A10" s="4" t="inlineStr">
        <is>
          <t>Travel &amp; Entertainment</t>
        </is>
      </c>
      <c r="B10" s="5" t="n">
        <v>50000</v>
      </c>
      <c r="C10" s="5" t="n">
        <v>120000</v>
      </c>
      <c r="D10" s="6">
        <f>C10-B10</f>
        <v/>
      </c>
    </row>
    <row r="11">
      <c r="A11" s="4" t="inlineStr">
        <is>
          <t>External Consultants</t>
        </is>
      </c>
      <c r="B11" s="5" t="n">
        <v>150000</v>
      </c>
      <c r="C11" s="5" t="n">
        <v>380000</v>
      </c>
      <c r="D11" s="6">
        <f>C11-B11</f>
        <v/>
      </c>
    </row>
    <row r="12">
      <c r="A12" s="4" t="inlineStr">
        <is>
          <t>Insurance &amp; Risk</t>
        </is>
      </c>
      <c r="B12" s="5" t="n">
        <v>40000</v>
      </c>
      <c r="C12" s="5" t="n">
        <v>110000</v>
      </c>
      <c r="D12" s="6">
        <f>C12-B12</f>
        <v/>
      </c>
    </row>
    <row r="13">
      <c r="A13" s="4" t="inlineStr">
        <is>
          <t>Miscellaneous / Reserve</t>
        </is>
      </c>
      <c r="B13" s="5" t="n">
        <v>35000</v>
      </c>
      <c r="C13" s="5" t="n">
        <v>72000</v>
      </c>
      <c r="D13" s="6">
        <f>C13-B13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Allergo Nordic AS — Budget Detail: February 2026</t>
        </is>
      </c>
    </row>
    <row r="3">
      <c r="A3" s="3" t="inlineStr">
        <is>
          <t>Cost Centre</t>
        </is>
      </c>
      <c r="B3" s="3" t="inlineStr">
        <is>
          <t>Monthly Budget (NOK)</t>
        </is>
      </c>
      <c r="C3" s="3" t="inlineStr">
        <is>
          <t>Monthly Actual (NOK)</t>
        </is>
      </c>
      <c r="D3" s="3" t="inlineStr">
        <is>
          <t>Variance (NOK)</t>
        </is>
      </c>
    </row>
    <row r="4">
      <c r="A4" s="4" t="inlineStr">
        <is>
          <t>Salaries &amp; Benefits</t>
        </is>
      </c>
      <c r="B4" s="5" t="n">
        <v>2400000</v>
      </c>
      <c r="C4" s="5" t="n">
        <v>7180000</v>
      </c>
      <c r="D4" s="6">
        <f>C4-B4</f>
        <v/>
      </c>
    </row>
    <row r="5">
      <c r="A5" s="4" t="inlineStr">
        <is>
          <t>IT &amp; Cloud Infrastructure</t>
        </is>
      </c>
      <c r="B5" s="5" t="n">
        <v>450000</v>
      </c>
      <c r="C5" s="5" t="n">
        <v>1120000</v>
      </c>
      <c r="D5" s="6">
        <f>C5-B5</f>
        <v/>
      </c>
    </row>
    <row r="6">
      <c r="A6" s="4" t="inlineStr">
        <is>
          <t>Office &amp; Facilities</t>
        </is>
      </c>
      <c r="B6" s="5" t="n">
        <v>140000</v>
      </c>
      <c r="C6" s="5" t="n">
        <v>445000</v>
      </c>
      <c r="D6" s="6">
        <f>C6-B6</f>
        <v/>
      </c>
    </row>
    <row r="7">
      <c r="A7" s="4" t="inlineStr">
        <is>
          <t>Marketing &amp; Sales</t>
        </is>
      </c>
      <c r="B7" s="5" t="n">
        <v>200000</v>
      </c>
      <c r="C7" s="5" t="n">
        <v>540000</v>
      </c>
      <c r="D7" s="6">
        <f>C7-B7</f>
        <v/>
      </c>
    </row>
    <row r="8">
      <c r="A8" s="4" t="inlineStr">
        <is>
          <t>R&amp;D Investment</t>
        </is>
      </c>
      <c r="B8" s="5" t="n">
        <v>541666.6666666666</v>
      </c>
      <c r="C8" s="5" t="n">
        <v>1580000</v>
      </c>
      <c r="D8" s="6">
        <f>C8-B8</f>
        <v/>
      </c>
    </row>
    <row r="9">
      <c r="A9" s="4" t="inlineStr">
        <is>
          <t>Legal &amp; Compliance</t>
        </is>
      </c>
      <c r="B9" s="5" t="n">
        <v>80000</v>
      </c>
      <c r="C9" s="5" t="n">
        <v>225000</v>
      </c>
      <c r="D9" s="6">
        <f>C9-B9</f>
        <v/>
      </c>
    </row>
    <row r="10">
      <c r="A10" s="4" t="inlineStr">
        <is>
          <t>Travel &amp; Entertainment</t>
        </is>
      </c>
      <c r="B10" s="5" t="n">
        <v>50000</v>
      </c>
      <c r="C10" s="5" t="n">
        <v>145000</v>
      </c>
      <c r="D10" s="6">
        <f>C10-B10</f>
        <v/>
      </c>
    </row>
    <row r="11">
      <c r="A11" s="4" t="inlineStr">
        <is>
          <t>External Consultants</t>
        </is>
      </c>
      <c r="B11" s="5" t="n">
        <v>150000</v>
      </c>
      <c r="C11" s="5" t="n">
        <v>420000</v>
      </c>
      <c r="D11" s="6">
        <f>C11-B11</f>
        <v/>
      </c>
    </row>
    <row r="12">
      <c r="A12" s="4" t="inlineStr">
        <is>
          <t>Insurance &amp; Risk</t>
        </is>
      </c>
      <c r="B12" s="5" t="n">
        <v>40000</v>
      </c>
      <c r="C12" s="5" t="n">
        <v>115000</v>
      </c>
      <c r="D12" s="6">
        <f>C12-B12</f>
        <v/>
      </c>
    </row>
    <row r="13">
      <c r="A13" s="4" t="inlineStr">
        <is>
          <t>Miscellaneous / Reserve</t>
        </is>
      </c>
      <c r="B13" s="5" t="n">
        <v>35000</v>
      </c>
      <c r="C13" s="5" t="n">
        <v>84000</v>
      </c>
      <c r="D13" s="6">
        <f>C13-B13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Allergo Nordic AS — Budget Detail: March 2026</t>
        </is>
      </c>
    </row>
    <row r="3">
      <c r="A3" s="3" t="inlineStr">
        <is>
          <t>Cost Centre</t>
        </is>
      </c>
      <c r="B3" s="3" t="inlineStr">
        <is>
          <t>Monthly Budget (NOK)</t>
        </is>
      </c>
      <c r="C3" s="3" t="inlineStr">
        <is>
          <t>Monthly Actual (NOK)</t>
        </is>
      </c>
      <c r="D3" s="3" t="inlineStr">
        <is>
          <t>Variance (NOK)</t>
        </is>
      </c>
    </row>
    <row r="4">
      <c r="A4" s="4" t="inlineStr">
        <is>
          <t>Salaries &amp; Benefits</t>
        </is>
      </c>
      <c r="B4" s="5" t="n">
        <v>2400000</v>
      </c>
      <c r="C4" s="5" t="n">
        <v>7312450</v>
      </c>
      <c r="D4" s="6">
        <f>C4-B4</f>
        <v/>
      </c>
    </row>
    <row r="5">
      <c r="A5" s="4" t="inlineStr">
        <is>
          <t>IT &amp; Cloud Infrastructure</t>
        </is>
      </c>
      <c r="B5" s="5" t="n">
        <v>450000</v>
      </c>
      <c r="C5" s="5" t="n">
        <v>1289340</v>
      </c>
      <c r="D5" s="6">
        <f>C5-B5</f>
        <v/>
      </c>
    </row>
    <row r="6">
      <c r="A6" s="4" t="inlineStr">
        <is>
          <t>Office &amp; Facilities</t>
        </is>
      </c>
      <c r="B6" s="5" t="n">
        <v>140000</v>
      </c>
      <c r="C6" s="5" t="n">
        <v>438200</v>
      </c>
      <c r="D6" s="6">
        <f>C6-B6</f>
        <v/>
      </c>
    </row>
    <row r="7">
      <c r="A7" s="4" t="inlineStr">
        <is>
          <t>Marketing &amp; Sales</t>
        </is>
      </c>
      <c r="B7" s="5" t="n">
        <v>200000</v>
      </c>
      <c r="C7" s="5" t="n">
        <v>554800</v>
      </c>
      <c r="D7" s="6">
        <f>C7-B7</f>
        <v/>
      </c>
    </row>
    <row r="8">
      <c r="A8" s="4" t="inlineStr">
        <is>
          <t>R&amp;D Investment</t>
        </is>
      </c>
      <c r="B8" s="5" t="n">
        <v>541666.6666666666</v>
      </c>
      <c r="C8" s="5" t="n">
        <v>1601200</v>
      </c>
      <c r="D8" s="6">
        <f>C8-B8</f>
        <v/>
      </c>
    </row>
    <row r="9">
      <c r="A9" s="4" t="inlineStr">
        <is>
          <t>Legal &amp; Compliance</t>
        </is>
      </c>
      <c r="B9" s="5" t="n">
        <v>80000</v>
      </c>
      <c r="C9" s="5" t="n">
        <v>228100</v>
      </c>
      <c r="D9" s="6">
        <f>C9-B9</f>
        <v/>
      </c>
    </row>
    <row r="10">
      <c r="A10" s="4" t="inlineStr">
        <is>
          <t>Travel &amp; Entertainment</t>
        </is>
      </c>
      <c r="B10" s="5" t="n">
        <v>50000</v>
      </c>
      <c r="C10" s="5" t="n">
        <v>163500</v>
      </c>
      <c r="D10" s="6">
        <f>C10-B10</f>
        <v/>
      </c>
    </row>
    <row r="11">
      <c r="A11" s="4" t="inlineStr">
        <is>
          <t>External Consultants</t>
        </is>
      </c>
      <c r="B11" s="5" t="n">
        <v>150000</v>
      </c>
      <c r="C11" s="5" t="n">
        <v>412780</v>
      </c>
      <c r="D11" s="6">
        <f>C11-B11</f>
        <v/>
      </c>
    </row>
    <row r="12">
      <c r="A12" s="4" t="inlineStr">
        <is>
          <t>Insurance &amp; Risk</t>
        </is>
      </c>
      <c r="B12" s="5" t="n">
        <v>40000</v>
      </c>
      <c r="C12" s="5" t="n">
        <v>120000</v>
      </c>
      <c r="D12" s="6">
        <f>C12-B12</f>
        <v/>
      </c>
    </row>
    <row r="13">
      <c r="A13" s="4" t="inlineStr">
        <is>
          <t>Miscellaneous / Reserve</t>
        </is>
      </c>
      <c r="B13" s="5" t="n">
        <v>35000</v>
      </c>
      <c r="C13" s="5" t="n">
        <v>82430</v>
      </c>
      <c r="D13" s="6">
        <f>C13-B13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2026-03-12T06:41:53Z</dcterms:created>
  <dcterms:modified xmlns:dcterms="http://purl.org/dc/terms/" xmlns:xsi="http://www.w3.org/2001/XMLSchema-instance" xsi:type="dcterms:W3CDTF">2026-03-12T06:41:53Z</dcterms:modified>
</cp:coreProperties>
</file>